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006C0264-B05D-47EB-BA06-165E62AAD742}" xr6:coauthVersionLast="47" xr6:coauthVersionMax="47" xr10:uidLastSave="{00000000-0000-0000-0000-000000000000}"/>
  <bookViews>
    <workbookView xWindow="-120" yWindow="-120" windowWidth="29040" windowHeight="15720" tabRatio="713" activeTab="3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Summary" sheetId="32" r:id="rId32"/>
  </sheets>
  <calcPr calcId="191029"/>
</workbook>
</file>

<file path=xl/calcChain.xml><?xml version="1.0" encoding="utf-8"?>
<calcChain xmlns="http://schemas.openxmlformats.org/spreadsheetml/2006/main">
  <c r="B19" i="32" l="1"/>
  <c r="B61" i="32"/>
  <c r="C61" i="32" s="1"/>
  <c r="B60" i="32"/>
  <c r="B59" i="32"/>
  <c r="B58" i="32"/>
  <c r="C58" i="32" s="1"/>
  <c r="B57" i="32"/>
  <c r="B56" i="32"/>
  <c r="B55" i="32"/>
  <c r="B54" i="32"/>
  <c r="C54" i="32" s="1"/>
  <c r="B53" i="32"/>
  <c r="B52" i="32"/>
  <c r="B51" i="32"/>
  <c r="B50" i="32"/>
  <c r="C50" i="32" s="1"/>
  <c r="B49" i="32"/>
  <c r="B48" i="32"/>
  <c r="B47" i="32"/>
  <c r="B46" i="32"/>
  <c r="C46" i="32" s="1"/>
  <c r="B45" i="32"/>
  <c r="B44" i="32"/>
  <c r="C43" i="32"/>
  <c r="B43" i="32"/>
  <c r="B42" i="32"/>
  <c r="C60" i="32" s="1"/>
  <c r="B37" i="32"/>
  <c r="B36" i="32"/>
  <c r="B35" i="32"/>
  <c r="B34" i="32"/>
  <c r="C34" i="32" s="1"/>
  <c r="B33" i="32"/>
  <c r="B32" i="32"/>
  <c r="B31" i="32"/>
  <c r="B30" i="32"/>
  <c r="C30" i="32" s="1"/>
  <c r="B29" i="32"/>
  <c r="B28" i="32"/>
  <c r="B27" i="32"/>
  <c r="B26" i="32"/>
  <c r="C26" i="32" s="1"/>
  <c r="B25" i="32"/>
  <c r="B24" i="32"/>
  <c r="B23" i="32"/>
  <c r="B22" i="32"/>
  <c r="C22" i="32" s="1"/>
  <c r="B21" i="32"/>
  <c r="B20" i="32"/>
  <c r="B18" i="32"/>
  <c r="C36" i="32" s="1"/>
  <c r="K6" i="32"/>
  <c r="H6" i="32"/>
  <c r="E13" i="32" s="1"/>
  <c r="F7" i="32"/>
  <c r="E7" i="32"/>
  <c r="B5" i="32"/>
  <c r="F7" i="31"/>
  <c r="E7" i="31"/>
  <c r="D7" i="31"/>
  <c r="C7" i="31"/>
  <c r="K6" i="31"/>
  <c r="H6" i="31"/>
  <c r="G6" i="31"/>
  <c r="B6" i="31"/>
  <c r="K5" i="31"/>
  <c r="K7" i="31" s="1"/>
  <c r="H5" i="31"/>
  <c r="I5" i="31" s="1"/>
  <c r="G5" i="31"/>
  <c r="G7" i="31" s="1"/>
  <c r="B5" i="31"/>
  <c r="F7" i="30"/>
  <c r="E7" i="30"/>
  <c r="D7" i="30"/>
  <c r="C7" i="30"/>
  <c r="K6" i="30"/>
  <c r="H6" i="30"/>
  <c r="I6" i="30" s="1"/>
  <c r="G6" i="30"/>
  <c r="B6" i="30"/>
  <c r="K5" i="30"/>
  <c r="H5" i="30"/>
  <c r="G5" i="30"/>
  <c r="G7" i="30" s="1"/>
  <c r="B5" i="30"/>
  <c r="F7" i="29"/>
  <c r="E7" i="29"/>
  <c r="D7" i="29"/>
  <c r="C7" i="29"/>
  <c r="K6" i="29"/>
  <c r="H6" i="29"/>
  <c r="G6" i="29"/>
  <c r="B6" i="29"/>
  <c r="J6" i="29" s="1"/>
  <c r="L6" i="29" s="1"/>
  <c r="K5" i="29"/>
  <c r="K7" i="29" s="1"/>
  <c r="H5" i="29"/>
  <c r="H7" i="29" s="1"/>
  <c r="G5" i="29"/>
  <c r="B5" i="29"/>
  <c r="B7" i="29" s="1"/>
  <c r="J7" i="29" s="1"/>
  <c r="L7" i="29" s="1"/>
  <c r="F7" i="28"/>
  <c r="E7" i="28"/>
  <c r="D7" i="28"/>
  <c r="C7" i="28"/>
  <c r="K6" i="28"/>
  <c r="H6" i="28"/>
  <c r="G6" i="28"/>
  <c r="B6" i="28"/>
  <c r="K5" i="28"/>
  <c r="K7" i="28" s="1"/>
  <c r="H5" i="28"/>
  <c r="H7" i="28" s="1"/>
  <c r="G5" i="28"/>
  <c r="B5" i="28"/>
  <c r="B7" i="28" s="1"/>
  <c r="F7" i="27"/>
  <c r="E7" i="27"/>
  <c r="D7" i="27"/>
  <c r="C7" i="27"/>
  <c r="K6" i="27"/>
  <c r="H6" i="27"/>
  <c r="I6" i="27" s="1"/>
  <c r="G6" i="27"/>
  <c r="B6" i="27"/>
  <c r="K5" i="27"/>
  <c r="K7" i="27" s="1"/>
  <c r="I5" i="27"/>
  <c r="H5" i="27"/>
  <c r="G5" i="27"/>
  <c r="G7" i="27" s="1"/>
  <c r="B5" i="27"/>
  <c r="J5" i="27" s="1"/>
  <c r="L5" i="27" s="1"/>
  <c r="F7" i="26"/>
  <c r="E7" i="26"/>
  <c r="D7" i="26"/>
  <c r="C7" i="26"/>
  <c r="K6" i="26"/>
  <c r="H6" i="26"/>
  <c r="G6" i="26"/>
  <c r="B6" i="26"/>
  <c r="K5" i="26"/>
  <c r="K7" i="26" s="1"/>
  <c r="H5" i="26"/>
  <c r="G5" i="26"/>
  <c r="G7" i="26" s="1"/>
  <c r="B5" i="26"/>
  <c r="B7" i="26" s="1"/>
  <c r="F7" i="25"/>
  <c r="E7" i="25"/>
  <c r="D7" i="25"/>
  <c r="C7" i="25"/>
  <c r="K6" i="25"/>
  <c r="H6" i="25"/>
  <c r="G6" i="25"/>
  <c r="B6" i="25"/>
  <c r="K5" i="25"/>
  <c r="K7" i="25" s="1"/>
  <c r="H5" i="25"/>
  <c r="G5" i="25"/>
  <c r="G7" i="25" s="1"/>
  <c r="B5" i="25"/>
  <c r="B7" i="25" s="1"/>
  <c r="F7" i="24"/>
  <c r="E7" i="24"/>
  <c r="D7" i="24"/>
  <c r="C7" i="24"/>
  <c r="K6" i="24"/>
  <c r="H6" i="24"/>
  <c r="G6" i="24"/>
  <c r="B6" i="24"/>
  <c r="K5" i="24"/>
  <c r="H5" i="24"/>
  <c r="H7" i="24" s="1"/>
  <c r="G5" i="24"/>
  <c r="B5" i="24"/>
  <c r="B7" i="24" s="1"/>
  <c r="K7" i="23"/>
  <c r="F7" i="23"/>
  <c r="E7" i="23"/>
  <c r="D7" i="23"/>
  <c r="C7" i="23"/>
  <c r="K6" i="23"/>
  <c r="H6" i="23"/>
  <c r="G6" i="23"/>
  <c r="B6" i="23"/>
  <c r="B7" i="23" s="1"/>
  <c r="K5" i="23"/>
  <c r="H5" i="23"/>
  <c r="I5" i="23" s="1"/>
  <c r="G5" i="23"/>
  <c r="G7" i="23" s="1"/>
  <c r="B5" i="23"/>
  <c r="F7" i="22"/>
  <c r="E7" i="22"/>
  <c r="D7" i="22"/>
  <c r="C7" i="22"/>
  <c r="K6" i="22"/>
  <c r="H6" i="22"/>
  <c r="I6" i="22" s="1"/>
  <c r="G6" i="22"/>
  <c r="B6" i="22"/>
  <c r="K5" i="22"/>
  <c r="K7" i="22" s="1"/>
  <c r="H5" i="22"/>
  <c r="G5" i="22"/>
  <c r="G7" i="22" s="1"/>
  <c r="B5" i="22"/>
  <c r="B7" i="22" s="1"/>
  <c r="F7" i="21"/>
  <c r="E7" i="21"/>
  <c r="D7" i="21"/>
  <c r="C7" i="21"/>
  <c r="K6" i="21"/>
  <c r="H6" i="21"/>
  <c r="G6" i="21"/>
  <c r="B6" i="21"/>
  <c r="K5" i="21"/>
  <c r="K7" i="21" s="1"/>
  <c r="H5" i="21"/>
  <c r="G5" i="21"/>
  <c r="G7" i="21" s="1"/>
  <c r="B5" i="21"/>
  <c r="B7" i="21" s="1"/>
  <c r="F7" i="20"/>
  <c r="E7" i="20"/>
  <c r="D7" i="20"/>
  <c r="C7" i="20"/>
  <c r="K6" i="20"/>
  <c r="H6" i="20"/>
  <c r="G6" i="20"/>
  <c r="B6" i="20"/>
  <c r="K5" i="20"/>
  <c r="H5" i="20"/>
  <c r="H7" i="20" s="1"/>
  <c r="G5" i="20"/>
  <c r="B5" i="20"/>
  <c r="F7" i="19"/>
  <c r="E7" i="19"/>
  <c r="D7" i="19"/>
  <c r="C7" i="19"/>
  <c r="K6" i="19"/>
  <c r="I6" i="19"/>
  <c r="H6" i="19"/>
  <c r="G6" i="19"/>
  <c r="B6" i="19"/>
  <c r="K5" i="19"/>
  <c r="H5" i="19"/>
  <c r="H7" i="19" s="1"/>
  <c r="G5" i="19"/>
  <c r="G7" i="19" s="1"/>
  <c r="B5" i="19"/>
  <c r="J5" i="19" s="1"/>
  <c r="L5" i="19" s="1"/>
  <c r="F7" i="18"/>
  <c r="E7" i="18"/>
  <c r="D7" i="18"/>
  <c r="C7" i="18"/>
  <c r="K6" i="18"/>
  <c r="H6" i="18"/>
  <c r="I6" i="18" s="1"/>
  <c r="G6" i="18"/>
  <c r="B6" i="18"/>
  <c r="K5" i="18"/>
  <c r="H5" i="18"/>
  <c r="G5" i="18"/>
  <c r="G7" i="18" s="1"/>
  <c r="B5" i="18"/>
  <c r="F7" i="17"/>
  <c r="E7" i="17"/>
  <c r="D7" i="17"/>
  <c r="C7" i="17"/>
  <c r="K6" i="17"/>
  <c r="H6" i="17"/>
  <c r="G6" i="17"/>
  <c r="B6" i="17"/>
  <c r="K5" i="17"/>
  <c r="K7" i="17" s="1"/>
  <c r="H5" i="17"/>
  <c r="G5" i="17"/>
  <c r="G7" i="17" s="1"/>
  <c r="B5" i="17"/>
  <c r="B7" i="17" s="1"/>
  <c r="F7" i="16"/>
  <c r="E7" i="16"/>
  <c r="D7" i="16"/>
  <c r="C7" i="16"/>
  <c r="K6" i="16"/>
  <c r="H6" i="16"/>
  <c r="G6" i="16"/>
  <c r="B6" i="16"/>
  <c r="J6" i="16" s="1"/>
  <c r="L6" i="16" s="1"/>
  <c r="K5" i="16"/>
  <c r="K7" i="16" s="1"/>
  <c r="H5" i="16"/>
  <c r="I5" i="16" s="1"/>
  <c r="G5" i="16"/>
  <c r="B5" i="16"/>
  <c r="B7" i="16" s="1"/>
  <c r="F7" i="15"/>
  <c r="E7" i="15"/>
  <c r="D7" i="15"/>
  <c r="C7" i="15"/>
  <c r="K6" i="15"/>
  <c r="H6" i="15"/>
  <c r="G6" i="15"/>
  <c r="I6" i="15" s="1"/>
  <c r="B6" i="15"/>
  <c r="J6" i="15" s="1"/>
  <c r="L6" i="15" s="1"/>
  <c r="K5" i="15"/>
  <c r="K7" i="15" s="1"/>
  <c r="H5" i="15"/>
  <c r="H7" i="15" s="1"/>
  <c r="G5" i="15"/>
  <c r="G7" i="15" s="1"/>
  <c r="B5" i="15"/>
  <c r="J5" i="15" s="1"/>
  <c r="L5" i="15" s="1"/>
  <c r="F7" i="14"/>
  <c r="E7" i="14"/>
  <c r="D7" i="14"/>
  <c r="C7" i="14"/>
  <c r="K6" i="14"/>
  <c r="H6" i="14"/>
  <c r="I6" i="14" s="1"/>
  <c r="G6" i="14"/>
  <c r="B6" i="14"/>
  <c r="K5" i="14"/>
  <c r="H5" i="14"/>
  <c r="G5" i="14"/>
  <c r="G7" i="14" s="1"/>
  <c r="B5" i="14"/>
  <c r="B7" i="14" s="1"/>
  <c r="F7" i="13"/>
  <c r="E7" i="13"/>
  <c r="D7" i="13"/>
  <c r="C7" i="13"/>
  <c r="K6" i="13"/>
  <c r="H6" i="13"/>
  <c r="I6" i="13" s="1"/>
  <c r="G6" i="13"/>
  <c r="B6" i="13"/>
  <c r="K5" i="13"/>
  <c r="K7" i="13" s="1"/>
  <c r="H5" i="13"/>
  <c r="H7" i="13" s="1"/>
  <c r="G5" i="13"/>
  <c r="G7" i="13" s="1"/>
  <c r="B5" i="13"/>
  <c r="F7" i="12"/>
  <c r="E7" i="12"/>
  <c r="D7" i="12"/>
  <c r="C7" i="12"/>
  <c r="K6" i="12"/>
  <c r="H6" i="12"/>
  <c r="G6" i="12"/>
  <c r="B6" i="12"/>
  <c r="K5" i="12"/>
  <c r="K7" i="12" s="1"/>
  <c r="H5" i="12"/>
  <c r="G5" i="12"/>
  <c r="G7" i="12" s="1"/>
  <c r="B5" i="12"/>
  <c r="J5" i="12" s="1"/>
  <c r="L5" i="12" s="1"/>
  <c r="F7" i="11"/>
  <c r="E7" i="11"/>
  <c r="D7" i="11"/>
  <c r="C7" i="11"/>
  <c r="K6" i="11"/>
  <c r="H6" i="11"/>
  <c r="G6" i="11"/>
  <c r="B6" i="11"/>
  <c r="K5" i="11"/>
  <c r="K7" i="11" s="1"/>
  <c r="H5" i="11"/>
  <c r="H7" i="11" s="1"/>
  <c r="G5" i="11"/>
  <c r="I5" i="11" s="1"/>
  <c r="B5" i="11"/>
  <c r="B7" i="11" s="1"/>
  <c r="F7" i="10"/>
  <c r="E7" i="10"/>
  <c r="D7" i="10"/>
  <c r="C7" i="10"/>
  <c r="K6" i="10"/>
  <c r="H6" i="10"/>
  <c r="I6" i="10" s="1"/>
  <c r="G6" i="10"/>
  <c r="B6" i="10"/>
  <c r="J6" i="10" s="1"/>
  <c r="L6" i="10" s="1"/>
  <c r="K5" i="10"/>
  <c r="K7" i="10" s="1"/>
  <c r="H5" i="10"/>
  <c r="H7" i="10" s="1"/>
  <c r="G5" i="10"/>
  <c r="G7" i="10" s="1"/>
  <c r="B5" i="10"/>
  <c r="J5" i="10" s="1"/>
  <c r="L5" i="10" s="1"/>
  <c r="F7" i="9"/>
  <c r="E7" i="9"/>
  <c r="D7" i="9"/>
  <c r="C7" i="9"/>
  <c r="K6" i="9"/>
  <c r="H6" i="9"/>
  <c r="G6" i="9"/>
  <c r="B6" i="9"/>
  <c r="J6" i="9" s="1"/>
  <c r="L6" i="9" s="1"/>
  <c r="K5" i="9"/>
  <c r="K7" i="9" s="1"/>
  <c r="H5" i="9"/>
  <c r="H7" i="9" s="1"/>
  <c r="G5" i="9"/>
  <c r="G7" i="9" s="1"/>
  <c r="B5" i="9"/>
  <c r="J5" i="9" s="1"/>
  <c r="L5" i="9" s="1"/>
  <c r="F7" i="8"/>
  <c r="E7" i="8"/>
  <c r="D7" i="8"/>
  <c r="C7" i="8"/>
  <c r="K6" i="8"/>
  <c r="H6" i="8"/>
  <c r="G6" i="8"/>
  <c r="B6" i="8"/>
  <c r="K5" i="8"/>
  <c r="K7" i="8" s="1"/>
  <c r="H5" i="8"/>
  <c r="H7" i="8" s="1"/>
  <c r="G5" i="8"/>
  <c r="G7" i="8" s="1"/>
  <c r="B5" i="8"/>
  <c r="F7" i="7"/>
  <c r="E7" i="7"/>
  <c r="D7" i="7"/>
  <c r="C7" i="7"/>
  <c r="K6" i="7"/>
  <c r="H6" i="7"/>
  <c r="G6" i="7"/>
  <c r="B6" i="7"/>
  <c r="K5" i="7"/>
  <c r="K7" i="7" s="1"/>
  <c r="H5" i="7"/>
  <c r="H7" i="7" s="1"/>
  <c r="I7" i="7" s="1"/>
  <c r="G5" i="7"/>
  <c r="G7" i="7" s="1"/>
  <c r="B5" i="7"/>
  <c r="B7" i="7" s="1"/>
  <c r="F7" i="6"/>
  <c r="E7" i="6"/>
  <c r="D7" i="6"/>
  <c r="C7" i="6"/>
  <c r="K6" i="6"/>
  <c r="H6" i="6"/>
  <c r="I6" i="6" s="1"/>
  <c r="G6" i="6"/>
  <c r="B6" i="6"/>
  <c r="J6" i="6" s="1"/>
  <c r="L6" i="6" s="1"/>
  <c r="K5" i="6"/>
  <c r="K7" i="6" s="1"/>
  <c r="H5" i="6"/>
  <c r="H7" i="6" s="1"/>
  <c r="G5" i="6"/>
  <c r="G7" i="6" s="1"/>
  <c r="B5" i="6"/>
  <c r="J5" i="6" s="1"/>
  <c r="L5" i="6" s="1"/>
  <c r="F7" i="5"/>
  <c r="E7" i="5"/>
  <c r="D7" i="5"/>
  <c r="C7" i="5"/>
  <c r="K6" i="5"/>
  <c r="H6" i="5"/>
  <c r="G6" i="5"/>
  <c r="B6" i="5"/>
  <c r="K5" i="5"/>
  <c r="K7" i="5" s="1"/>
  <c r="H5" i="5"/>
  <c r="H7" i="5" s="1"/>
  <c r="G5" i="5"/>
  <c r="G7" i="5" s="1"/>
  <c r="B5" i="5"/>
  <c r="F7" i="4"/>
  <c r="E7" i="4"/>
  <c r="D7" i="4"/>
  <c r="C7" i="4"/>
  <c r="K6" i="4"/>
  <c r="H6" i="4"/>
  <c r="I6" i="4" s="1"/>
  <c r="G6" i="4"/>
  <c r="B6" i="4"/>
  <c r="K5" i="4"/>
  <c r="K7" i="4" s="1"/>
  <c r="H5" i="4"/>
  <c r="I5" i="4" s="1"/>
  <c r="G5" i="4"/>
  <c r="G7" i="4" s="1"/>
  <c r="B5" i="4"/>
  <c r="B7" i="4" s="1"/>
  <c r="F7" i="3"/>
  <c r="E7" i="3"/>
  <c r="D7" i="3"/>
  <c r="C7" i="3"/>
  <c r="K6" i="3"/>
  <c r="H6" i="3"/>
  <c r="I6" i="3" s="1"/>
  <c r="G6" i="3"/>
  <c r="B6" i="3"/>
  <c r="J6" i="3" s="1"/>
  <c r="L6" i="3" s="1"/>
  <c r="K5" i="3"/>
  <c r="K7" i="3" s="1"/>
  <c r="H5" i="3"/>
  <c r="H7" i="3" s="1"/>
  <c r="G5" i="3"/>
  <c r="B5" i="3"/>
  <c r="B7" i="3" s="1"/>
  <c r="F7" i="2"/>
  <c r="E7" i="2"/>
  <c r="D7" i="2"/>
  <c r="C7" i="2"/>
  <c r="K6" i="2"/>
  <c r="H6" i="2"/>
  <c r="G6" i="2"/>
  <c r="B6" i="2"/>
  <c r="K5" i="2"/>
  <c r="K7" i="2" s="1"/>
  <c r="H5" i="2"/>
  <c r="H7" i="2" s="1"/>
  <c r="G5" i="2"/>
  <c r="G7" i="2" s="1"/>
  <c r="B5" i="2"/>
  <c r="B7" i="2" s="1"/>
  <c r="J7" i="2" s="1"/>
  <c r="L7" i="2" s="1"/>
  <c r="F7" i="1"/>
  <c r="E7" i="1"/>
  <c r="D7" i="1"/>
  <c r="C7" i="1"/>
  <c r="K6" i="1"/>
  <c r="H6" i="1"/>
  <c r="I6" i="1" s="1"/>
  <c r="G6" i="1"/>
  <c r="B6" i="1"/>
  <c r="K5" i="1"/>
  <c r="K7" i="1" s="1"/>
  <c r="H5" i="1"/>
  <c r="H7" i="1" s="1"/>
  <c r="G5" i="1"/>
  <c r="G7" i="1" s="1"/>
  <c r="B5" i="1"/>
  <c r="C27" i="32" l="1"/>
  <c r="C31" i="32"/>
  <c r="C51" i="32"/>
  <c r="C55" i="32"/>
  <c r="C59" i="32"/>
  <c r="C18" i="32"/>
  <c r="D18" i="32" s="1"/>
  <c r="C42" i="32"/>
  <c r="D42" i="32" s="1"/>
  <c r="D43" i="32" s="1"/>
  <c r="D44" i="32" s="1"/>
  <c r="D45" i="32" s="1"/>
  <c r="D46" i="32" s="1"/>
  <c r="D47" i="32" s="1"/>
  <c r="D48" i="32" s="1"/>
  <c r="D49" i="32" s="1"/>
  <c r="D50" i="32" s="1"/>
  <c r="D51" i="32" s="1"/>
  <c r="D52" i="32" s="1"/>
  <c r="D53" i="32" s="1"/>
  <c r="D54" i="32" s="1"/>
  <c r="D55" i="32" s="1"/>
  <c r="C19" i="32"/>
  <c r="C23" i="32"/>
  <c r="C35" i="32"/>
  <c r="C47" i="32"/>
  <c r="C21" i="32"/>
  <c r="C25" i="32"/>
  <c r="C29" i="32"/>
  <c r="C33" i="32"/>
  <c r="C37" i="32"/>
  <c r="C45" i="32"/>
  <c r="C49" i="32"/>
  <c r="C53" i="32"/>
  <c r="C57" i="32"/>
  <c r="C20" i="32"/>
  <c r="C24" i="32"/>
  <c r="C28" i="32"/>
  <c r="C32" i="32"/>
  <c r="C44" i="32"/>
  <c r="C48" i="32"/>
  <c r="C52" i="32"/>
  <c r="C56" i="32"/>
  <c r="K7" i="19"/>
  <c r="I6" i="11"/>
  <c r="J5" i="1"/>
  <c r="L5" i="1" s="1"/>
  <c r="J6" i="1"/>
  <c r="L6" i="1" s="1"/>
  <c r="I5" i="3"/>
  <c r="J6" i="4"/>
  <c r="L6" i="4" s="1"/>
  <c r="J6" i="7"/>
  <c r="L6" i="7" s="1"/>
  <c r="I6" i="9"/>
  <c r="J6" i="14"/>
  <c r="L6" i="14" s="1"/>
  <c r="I5" i="20"/>
  <c r="I6" i="23"/>
  <c r="I6" i="26"/>
  <c r="B7" i="27"/>
  <c r="I7" i="28"/>
  <c r="I6" i="31"/>
  <c r="I6" i="2"/>
  <c r="B7" i="10"/>
  <c r="J7" i="10" s="1"/>
  <c r="L7" i="10" s="1"/>
  <c r="J5" i="8"/>
  <c r="L5" i="8" s="1"/>
  <c r="J6" i="8"/>
  <c r="L6" i="8" s="1"/>
  <c r="J6" i="11"/>
  <c r="L6" i="11" s="1"/>
  <c r="J5" i="18"/>
  <c r="L5" i="18" s="1"/>
  <c r="J6" i="18"/>
  <c r="L6" i="18" s="1"/>
  <c r="B7" i="20"/>
  <c r="J5" i="23"/>
  <c r="L5" i="23" s="1"/>
  <c r="G7" i="24"/>
  <c r="J5" i="31"/>
  <c r="L5" i="31" s="1"/>
  <c r="J7" i="3"/>
  <c r="L7" i="3" s="1"/>
  <c r="B7" i="1"/>
  <c r="J7" i="1" s="1"/>
  <c r="L7" i="1" s="1"/>
  <c r="I7" i="2"/>
  <c r="G7" i="3"/>
  <c r="H7" i="4"/>
  <c r="J7" i="4" s="1"/>
  <c r="L7" i="4" s="1"/>
  <c r="I6" i="5"/>
  <c r="I5" i="7"/>
  <c r="I6" i="7"/>
  <c r="I6" i="8"/>
  <c r="B7" i="9"/>
  <c r="J7" i="9" s="1"/>
  <c r="L7" i="9" s="1"/>
  <c r="I7" i="10"/>
  <c r="G7" i="11"/>
  <c r="H7" i="16"/>
  <c r="I7" i="16" s="1"/>
  <c r="B7" i="19"/>
  <c r="I7" i="19" s="1"/>
  <c r="J7" i="20"/>
  <c r="L7" i="20" s="1"/>
  <c r="K7" i="20"/>
  <c r="I5" i="24"/>
  <c r="I6" i="24"/>
  <c r="I5" i="28"/>
  <c r="K7" i="30"/>
  <c r="J7" i="11"/>
  <c r="L7" i="11" s="1"/>
  <c r="B7" i="6"/>
  <c r="I7" i="6" s="1"/>
  <c r="J7" i="7"/>
  <c r="L7" i="7" s="1"/>
  <c r="J6" i="13"/>
  <c r="L6" i="13" s="1"/>
  <c r="I5" i="15"/>
  <c r="B7" i="18"/>
  <c r="J6" i="20"/>
  <c r="L6" i="20" s="1"/>
  <c r="J6" i="22"/>
  <c r="L6" i="22" s="1"/>
  <c r="J7" i="23"/>
  <c r="L7" i="23" s="1"/>
  <c r="J7" i="24"/>
  <c r="L7" i="24" s="1"/>
  <c r="K7" i="24"/>
  <c r="J6" i="26"/>
  <c r="L6" i="26" s="1"/>
  <c r="J5" i="30"/>
  <c r="L5" i="30" s="1"/>
  <c r="J6" i="30"/>
  <c r="L6" i="30" s="1"/>
  <c r="J6" i="31"/>
  <c r="L6" i="31" s="1"/>
  <c r="G5" i="32"/>
  <c r="I7" i="1"/>
  <c r="J5" i="2"/>
  <c r="L5" i="2" s="1"/>
  <c r="J6" i="2"/>
  <c r="L6" i="2" s="1"/>
  <c r="J5" i="5"/>
  <c r="L5" i="5" s="1"/>
  <c r="J6" i="5"/>
  <c r="L6" i="5" s="1"/>
  <c r="B7" i="5"/>
  <c r="I7" i="5" s="1"/>
  <c r="H7" i="12"/>
  <c r="K7" i="14"/>
  <c r="J6" i="17"/>
  <c r="L6" i="17" s="1"/>
  <c r="K7" i="18"/>
  <c r="I5" i="19"/>
  <c r="G7" i="20"/>
  <c r="H7" i="23"/>
  <c r="J6" i="24"/>
  <c r="L6" i="24" s="1"/>
  <c r="I5" i="25"/>
  <c r="H7" i="27"/>
  <c r="J7" i="27" s="1"/>
  <c r="L7" i="27" s="1"/>
  <c r="G7" i="28"/>
  <c r="J6" i="28"/>
  <c r="L6" i="28" s="1"/>
  <c r="I6" i="29"/>
  <c r="B7" i="30"/>
  <c r="H7" i="31"/>
  <c r="G6" i="32"/>
  <c r="B13" i="32" s="1"/>
  <c r="J7" i="14"/>
  <c r="L7" i="14" s="1"/>
  <c r="J7" i="5"/>
  <c r="L7" i="5" s="1"/>
  <c r="I7" i="3"/>
  <c r="I7" i="4"/>
  <c r="I7" i="11"/>
  <c r="B7" i="12"/>
  <c r="J5" i="24"/>
  <c r="L5" i="24" s="1"/>
  <c r="I5" i="10"/>
  <c r="I6" i="12"/>
  <c r="I6" i="20"/>
  <c r="I6" i="21"/>
  <c r="H7" i="21"/>
  <c r="I7" i="21" s="1"/>
  <c r="H7" i="22"/>
  <c r="I7" i="22" s="1"/>
  <c r="I5" i="22"/>
  <c r="J6" i="27"/>
  <c r="L6" i="27" s="1"/>
  <c r="B7" i="8"/>
  <c r="J7" i="8" s="1"/>
  <c r="L7" i="8" s="1"/>
  <c r="I5" i="9"/>
  <c r="I5" i="12"/>
  <c r="J6" i="12"/>
  <c r="L6" i="12" s="1"/>
  <c r="I5" i="13"/>
  <c r="J5" i="14"/>
  <c r="L5" i="14" s="1"/>
  <c r="J7" i="16"/>
  <c r="L7" i="16" s="1"/>
  <c r="J5" i="16"/>
  <c r="L5" i="16" s="1"/>
  <c r="I6" i="16"/>
  <c r="I5" i="17"/>
  <c r="I6" i="17"/>
  <c r="H7" i="17"/>
  <c r="I7" i="17" s="1"/>
  <c r="H7" i="18"/>
  <c r="I7" i="18" s="1"/>
  <c r="I5" i="18"/>
  <c r="J6" i="23"/>
  <c r="L6" i="23" s="1"/>
  <c r="I7" i="24"/>
  <c r="J6" i="25"/>
  <c r="L6" i="25" s="1"/>
  <c r="J5" i="26"/>
  <c r="L5" i="26" s="1"/>
  <c r="G7" i="29"/>
  <c r="I5" i="29"/>
  <c r="I7" i="29"/>
  <c r="J5" i="4"/>
  <c r="L5" i="4" s="1"/>
  <c r="H7" i="14"/>
  <c r="I7" i="14" s="1"/>
  <c r="I5" i="14"/>
  <c r="I6" i="25"/>
  <c r="H7" i="25"/>
  <c r="I7" i="25" s="1"/>
  <c r="H7" i="26"/>
  <c r="I7" i="26" s="1"/>
  <c r="I5" i="26"/>
  <c r="I5" i="2"/>
  <c r="J5" i="3"/>
  <c r="L5" i="3" s="1"/>
  <c r="I5" i="6"/>
  <c r="J5" i="7"/>
  <c r="L5" i="7" s="1"/>
  <c r="J5" i="11"/>
  <c r="L5" i="11" s="1"/>
  <c r="J5" i="20"/>
  <c r="L5" i="20" s="1"/>
  <c r="I5" i="21"/>
  <c r="I5" i="1"/>
  <c r="I5" i="5"/>
  <c r="I5" i="8"/>
  <c r="B7" i="13"/>
  <c r="J7" i="13" s="1"/>
  <c r="L7" i="13" s="1"/>
  <c r="G7" i="16"/>
  <c r="J7" i="19"/>
  <c r="L7" i="19" s="1"/>
  <c r="J6" i="19"/>
  <c r="L6" i="19" s="1"/>
  <c r="I7" i="20"/>
  <c r="J6" i="21"/>
  <c r="L6" i="21" s="1"/>
  <c r="J5" i="22"/>
  <c r="L5" i="22" s="1"/>
  <c r="I7" i="23"/>
  <c r="J7" i="28"/>
  <c r="L7" i="28" s="1"/>
  <c r="J5" i="28"/>
  <c r="L5" i="28" s="1"/>
  <c r="I6" i="28"/>
  <c r="H7" i="30"/>
  <c r="I5" i="30"/>
  <c r="H5" i="32"/>
  <c r="J5" i="13"/>
  <c r="L5" i="13" s="1"/>
  <c r="B7" i="15"/>
  <c r="J7" i="15" s="1"/>
  <c r="L7" i="15" s="1"/>
  <c r="J5" i="17"/>
  <c r="L5" i="17" s="1"/>
  <c r="J5" i="21"/>
  <c r="L5" i="21" s="1"/>
  <c r="J5" i="25"/>
  <c r="L5" i="25" s="1"/>
  <c r="J5" i="29"/>
  <c r="L5" i="29" s="1"/>
  <c r="B7" i="31"/>
  <c r="J7" i="31" s="1"/>
  <c r="L7" i="31" s="1"/>
  <c r="C7" i="32"/>
  <c r="D7" i="32"/>
  <c r="K5" i="32"/>
  <c r="K7" i="32" s="1"/>
  <c r="B6" i="32"/>
  <c r="J6" i="32" s="1"/>
  <c r="L6" i="32" s="1"/>
  <c r="D56" i="32" l="1"/>
  <c r="D57" i="32" s="1"/>
  <c r="D58" i="32" s="1"/>
  <c r="D59" i="32" s="1"/>
  <c r="D60" i="32" s="1"/>
  <c r="D61" i="32" s="1"/>
  <c r="D19" i="32"/>
  <c r="D20" i="32" s="1"/>
  <c r="D21" i="32" s="1"/>
  <c r="D22" i="32" s="1"/>
  <c r="D23" i="32" s="1"/>
  <c r="D24" i="32" s="1"/>
  <c r="D25" i="32" s="1"/>
  <c r="D26" i="32" s="1"/>
  <c r="D27" i="32" s="1"/>
  <c r="D28" i="32" s="1"/>
  <c r="D29" i="32" s="1"/>
  <c r="D30" i="32" s="1"/>
  <c r="D31" i="32" s="1"/>
  <c r="D32" i="32" s="1"/>
  <c r="D33" i="32" s="1"/>
  <c r="D34" i="32" s="1"/>
  <c r="D35" i="32" s="1"/>
  <c r="D36" i="32" s="1"/>
  <c r="D37" i="32" s="1"/>
  <c r="I6" i="32"/>
  <c r="G7" i="32"/>
  <c r="B11" i="32" s="1"/>
  <c r="J7" i="21"/>
  <c r="L7" i="21" s="1"/>
  <c r="B12" i="32"/>
  <c r="I7" i="27"/>
  <c r="I7" i="9"/>
  <c r="I7" i="15"/>
  <c r="J7" i="17"/>
  <c r="L7" i="17" s="1"/>
  <c r="I7" i="31"/>
  <c r="J7" i="12"/>
  <c r="L7" i="12" s="1"/>
  <c r="J7" i="22"/>
  <c r="L7" i="22" s="1"/>
  <c r="J7" i="6"/>
  <c r="L7" i="6" s="1"/>
  <c r="I7" i="30"/>
  <c r="J7" i="30"/>
  <c r="L7" i="30" s="1"/>
  <c r="J7" i="25"/>
  <c r="L7" i="25" s="1"/>
  <c r="I7" i="13"/>
  <c r="J7" i="18"/>
  <c r="L7" i="18" s="1"/>
  <c r="I7" i="12"/>
  <c r="E12" i="32"/>
  <c r="H7" i="32"/>
  <c r="I5" i="32"/>
  <c r="J7" i="26"/>
  <c r="L7" i="26" s="1"/>
  <c r="B7" i="32"/>
  <c r="J5" i="32"/>
  <c r="L5" i="32" s="1"/>
  <c r="I7" i="8"/>
  <c r="J7" i="32" l="1"/>
  <c r="L7" i="32" s="1"/>
  <c r="I7" i="32"/>
  <c r="E11" i="32"/>
</calcChain>
</file>

<file path=xl/sharedStrings.xml><?xml version="1.0" encoding="utf-8"?>
<sst xmlns="http://schemas.openxmlformats.org/spreadsheetml/2006/main" count="702" uniqueCount="50">
  <si>
    <t>Daily Production Report</t>
  </si>
  <si>
    <t>Module</t>
  </si>
  <si>
    <t>Planed Weight (Kg)</t>
  </si>
  <si>
    <t>Day Shift</t>
  </si>
  <si>
    <t>Night Shift</t>
  </si>
  <si>
    <t>Total</t>
  </si>
  <si>
    <t>Prod weight Planed weight</t>
  </si>
  <si>
    <t>Lost (Kg)</t>
  </si>
  <si>
    <t>Lost (Kg) Accuracy</t>
  </si>
  <si>
    <t>Lost Kg vs plan kg</t>
  </si>
  <si>
    <t>Eff Loss kg</t>
  </si>
  <si>
    <t>Planed (Kg)</t>
  </si>
  <si>
    <t>Production (kg)</t>
  </si>
  <si>
    <t>Total Plan Kg</t>
  </si>
  <si>
    <t>IM Line</t>
  </si>
  <si>
    <t>BM Line</t>
  </si>
  <si>
    <t>Global AOP</t>
  </si>
  <si>
    <t>Schedule</t>
  </si>
  <si>
    <t>AOP</t>
  </si>
  <si>
    <t>Production</t>
  </si>
  <si>
    <t>Working Days</t>
  </si>
  <si>
    <t>Average Per Day (Kg)</t>
  </si>
  <si>
    <t>Average per day(Kg)-IM</t>
  </si>
  <si>
    <t>Average per day(Kg)-BM</t>
  </si>
  <si>
    <t>IM Machine Loss Analysis</t>
  </si>
  <si>
    <t>BM Machine Loss Analysis</t>
  </si>
  <si>
    <t>Reason</t>
  </si>
  <si>
    <t>KG</t>
  </si>
  <si>
    <t>%</t>
  </si>
  <si>
    <t>Cumulative</t>
  </si>
  <si>
    <t>BD Production</t>
  </si>
  <si>
    <t>BD Engineering</t>
  </si>
  <si>
    <t>Machine Settings</t>
  </si>
  <si>
    <t>Cycle time deviation</t>
  </si>
  <si>
    <t>Absenteeism</t>
  </si>
  <si>
    <t>Power Failure</t>
  </si>
  <si>
    <t>Early leave</t>
  </si>
  <si>
    <t>Mold Change Delay</t>
  </si>
  <si>
    <t>Quality issues</t>
  </si>
  <si>
    <t>Sampling</t>
  </si>
  <si>
    <t>Machine Starting Delay</t>
  </si>
  <si>
    <t>Labor Shortage</t>
  </si>
  <si>
    <t>Color Changing</t>
  </si>
  <si>
    <t>Mold Breakdown</t>
  </si>
  <si>
    <t>Hopper material stock taking</t>
  </si>
  <si>
    <t>No Orders</t>
  </si>
  <si>
    <t>Lack of Materials</t>
  </si>
  <si>
    <t>Material Issues</t>
  </si>
  <si>
    <t>Lack of Packing Materials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</si>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</sst>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"/>
    <numFmt numFmtId="165" formatCode="0.#%"/>
  </numFmts>
  <fonts count="6" x14ac:knownFonts="1">
    <font>
      <sz val="11"/>
      <color theme="1"/>
      <name val="Calibri"/>
      <family val="2"/>
      <scheme val="minor"/>
    </font>
    <font>
      <b/>
      <sz val="20"/>
      <name val="Times New Roman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4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I3:I4"/>
    <mergeCell ref="J3:J4"/>
    <mergeCell ref="K3:K4"/>
    <mergeCell ref="L3:L4"/>
    <mergeCell ref="M3:M4"/>
    <mergeCell ref="C3:D3"/>
    <mergeCell ref="E3:F3"/>
    <mergeCell ref="G3:H3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61"/>
  <sheetViews>
    <sheetView showGridLines="0" tabSelected="1" topLeftCell="A2" workbookViewId="0">
      <selection activeCell="F19" sqref="F19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</row>
    <row r="4" spans="1:13" ht="45" customHeight="1" x14ac:dyDescent="0.25">
      <c r="A4" s="10"/>
      <c r="B4" s="10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0"/>
      <c r="J4" s="10"/>
      <c r="K4" s="10"/>
      <c r="L4" s="10"/>
      <c r="M4" s="10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  <row r="9" spans="1:13" ht="15.75" customHeight="1" x14ac:dyDescent="0.25">
      <c r="A9" s="7" t="s">
        <v>17</v>
      </c>
      <c r="B9" s="7" t="s">
        <v>18</v>
      </c>
      <c r="D9" s="7" t="s">
        <v>19</v>
      </c>
      <c r="E9" s="7" t="s">
        <v>18</v>
      </c>
    </row>
    <row r="10" spans="1:13" ht="15.75" customHeight="1" x14ac:dyDescent="0.25">
      <c r="A10" s="8" t="s">
        <v>20</v>
      </c>
      <c r="B10" s="9"/>
      <c r="D10" s="8" t="s">
        <v>20</v>
      </c>
      <c r="E10" s="9"/>
    </row>
    <row r="11" spans="1:13" ht="15.75" customHeight="1" x14ac:dyDescent="0.25">
      <c r="A11" s="8" t="s">
        <v>21</v>
      </c>
      <c r="B11" s="9">
        <f>IFERROR(G7/B10,0)</f>
        <v>0</v>
      </c>
      <c r="D11" s="8" t="s">
        <v>21</v>
      </c>
      <c r="E11" s="9">
        <f>IFERROR(H7/E10,0)</f>
        <v>0</v>
      </c>
    </row>
    <row r="12" spans="1:13" ht="15.75" customHeight="1" x14ac:dyDescent="0.25">
      <c r="A12" s="8" t="s">
        <v>22</v>
      </c>
      <c r="B12" s="9">
        <f>IFERROR(G5/B10,0)</f>
        <v>0</v>
      </c>
      <c r="D12" s="8" t="s">
        <v>22</v>
      </c>
      <c r="E12" s="9">
        <f>IFERROR(H5/E10,0)</f>
        <v>0</v>
      </c>
    </row>
    <row r="13" spans="1:13" ht="15.75" customHeight="1" x14ac:dyDescent="0.25">
      <c r="A13" s="8" t="s">
        <v>23</v>
      </c>
      <c r="B13" s="9">
        <f>IFERROR(G6/B10,0)</f>
        <v>0</v>
      </c>
      <c r="D13" s="8" t="s">
        <v>23</v>
      </c>
      <c r="E13" s="9">
        <f>IFERROR(H6/E10,0)</f>
        <v>0</v>
      </c>
    </row>
    <row r="16" spans="1:13" ht="15.75" customHeight="1" x14ac:dyDescent="0.25">
      <c r="A16" s="11" t="s">
        <v>24</v>
      </c>
      <c r="B16" s="11"/>
      <c r="C16" s="11"/>
      <c r="D16" s="11"/>
    </row>
    <row r="17" spans="1:4" ht="15.75" customHeight="1" x14ac:dyDescent="0.25">
      <c r="A17" s="12" t="s">
        <v>26</v>
      </c>
      <c r="B17" s="12" t="s">
        <v>27</v>
      </c>
      <c r="C17" s="12" t="s">
        <v>28</v>
      </c>
      <c r="D17" s="12" t="s">
        <v>29</v>
      </c>
    </row>
    <row r="18" spans="1:4" x14ac:dyDescent="0.25">
      <c r="A18" s="13" t="s">
        <v>30</v>
      </c>
      <c r="B18" s="14" t="e">
        <f t="shared" ref="B18:B37" si="1">HLOOKUP(A18,$N$3:$AG$6,3,FALSE)</f>
        <v>#N/A</v>
      </c>
      <c r="C18" s="15">
        <f t="shared" ref="C18:C37" si="2">IFERROR(B18/SUM($B$18:$B$37),0)</f>
        <v>0</v>
      </c>
      <c r="D18" s="15">
        <f>C18</f>
        <v>0</v>
      </c>
    </row>
    <row r="19" spans="1:4" x14ac:dyDescent="0.25">
      <c r="A19" s="13" t="s">
        <v>31</v>
      </c>
      <c r="B19" s="14" t="e">
        <f>HLOOKUP(A19,$N$3:$AG$6,3,FALSE)</f>
        <v>#N/A</v>
      </c>
      <c r="C19" s="15">
        <f t="shared" si="2"/>
        <v>0</v>
      </c>
      <c r="D19" s="15">
        <f t="shared" ref="D19:D37" si="3">D18+C19</f>
        <v>0</v>
      </c>
    </row>
    <row r="20" spans="1:4" x14ac:dyDescent="0.25">
      <c r="A20" s="13" t="s">
        <v>32</v>
      </c>
      <c r="B20" s="14" t="e">
        <f t="shared" si="1"/>
        <v>#N/A</v>
      </c>
      <c r="C20" s="15">
        <f t="shared" si="2"/>
        <v>0</v>
      </c>
      <c r="D20" s="15">
        <f t="shared" si="3"/>
        <v>0</v>
      </c>
    </row>
    <row r="21" spans="1:4" x14ac:dyDescent="0.25">
      <c r="A21" s="13" t="s">
        <v>33</v>
      </c>
      <c r="B21" s="14" t="e">
        <f t="shared" si="1"/>
        <v>#N/A</v>
      </c>
      <c r="C21" s="15">
        <f t="shared" si="2"/>
        <v>0</v>
      </c>
      <c r="D21" s="15">
        <f t="shared" si="3"/>
        <v>0</v>
      </c>
    </row>
    <row r="22" spans="1:4" x14ac:dyDescent="0.25">
      <c r="A22" s="13" t="s">
        <v>34</v>
      </c>
      <c r="B22" s="14" t="e">
        <f t="shared" si="1"/>
        <v>#N/A</v>
      </c>
      <c r="C22" s="15">
        <f t="shared" si="2"/>
        <v>0</v>
      </c>
      <c r="D22" s="15">
        <f t="shared" si="3"/>
        <v>0</v>
      </c>
    </row>
    <row r="23" spans="1:4" x14ac:dyDescent="0.25">
      <c r="A23" s="13" t="s">
        <v>35</v>
      </c>
      <c r="B23" s="14" t="e">
        <f t="shared" si="1"/>
        <v>#N/A</v>
      </c>
      <c r="C23" s="15">
        <f t="shared" si="2"/>
        <v>0</v>
      </c>
      <c r="D23" s="15">
        <f t="shared" si="3"/>
        <v>0</v>
      </c>
    </row>
    <row r="24" spans="1:4" x14ac:dyDescent="0.25">
      <c r="A24" s="13" t="s">
        <v>36</v>
      </c>
      <c r="B24" s="14" t="e">
        <f t="shared" si="1"/>
        <v>#N/A</v>
      </c>
      <c r="C24" s="15">
        <f t="shared" si="2"/>
        <v>0</v>
      </c>
      <c r="D24" s="15">
        <f t="shared" si="3"/>
        <v>0</v>
      </c>
    </row>
    <row r="25" spans="1:4" x14ac:dyDescent="0.25">
      <c r="A25" s="13" t="s">
        <v>37</v>
      </c>
      <c r="B25" s="14" t="e">
        <f t="shared" si="1"/>
        <v>#N/A</v>
      </c>
      <c r="C25" s="15">
        <f t="shared" si="2"/>
        <v>0</v>
      </c>
      <c r="D25" s="15">
        <f t="shared" si="3"/>
        <v>0</v>
      </c>
    </row>
    <row r="26" spans="1:4" x14ac:dyDescent="0.25">
      <c r="A26" s="13" t="s">
        <v>38</v>
      </c>
      <c r="B26" s="14" t="e">
        <f t="shared" si="1"/>
        <v>#N/A</v>
      </c>
      <c r="C26" s="15">
        <f t="shared" si="2"/>
        <v>0</v>
      </c>
      <c r="D26" s="15">
        <f t="shared" si="3"/>
        <v>0</v>
      </c>
    </row>
    <row r="27" spans="1:4" x14ac:dyDescent="0.25">
      <c r="A27" s="13" t="s">
        <v>39</v>
      </c>
      <c r="B27" s="14" t="e">
        <f t="shared" si="1"/>
        <v>#N/A</v>
      </c>
      <c r="C27" s="15">
        <f t="shared" si="2"/>
        <v>0</v>
      </c>
      <c r="D27" s="15">
        <f t="shared" si="3"/>
        <v>0</v>
      </c>
    </row>
    <row r="28" spans="1:4" x14ac:dyDescent="0.25">
      <c r="A28" s="13" t="s">
        <v>40</v>
      </c>
      <c r="B28" s="14" t="e">
        <f t="shared" si="1"/>
        <v>#N/A</v>
      </c>
      <c r="C28" s="15">
        <f t="shared" si="2"/>
        <v>0</v>
      </c>
      <c r="D28" s="15">
        <f t="shared" si="3"/>
        <v>0</v>
      </c>
    </row>
    <row r="29" spans="1:4" x14ac:dyDescent="0.25">
      <c r="A29" s="13" t="s">
        <v>41</v>
      </c>
      <c r="B29" s="14" t="e">
        <f t="shared" si="1"/>
        <v>#N/A</v>
      </c>
      <c r="C29" s="15">
        <f t="shared" si="2"/>
        <v>0</v>
      </c>
      <c r="D29" s="15">
        <f t="shared" si="3"/>
        <v>0</v>
      </c>
    </row>
    <row r="30" spans="1:4" x14ac:dyDescent="0.25">
      <c r="A30" s="13" t="s">
        <v>42</v>
      </c>
      <c r="B30" s="14" t="e">
        <f t="shared" si="1"/>
        <v>#N/A</v>
      </c>
      <c r="C30" s="15">
        <f t="shared" si="2"/>
        <v>0</v>
      </c>
      <c r="D30" s="15">
        <f t="shared" si="3"/>
        <v>0</v>
      </c>
    </row>
    <row r="31" spans="1:4" x14ac:dyDescent="0.25">
      <c r="A31" s="13" t="s">
        <v>43</v>
      </c>
      <c r="B31" s="14" t="e">
        <f t="shared" si="1"/>
        <v>#N/A</v>
      </c>
      <c r="C31" s="15">
        <f t="shared" si="2"/>
        <v>0</v>
      </c>
      <c r="D31" s="15">
        <f t="shared" si="3"/>
        <v>0</v>
      </c>
    </row>
    <row r="32" spans="1:4" x14ac:dyDescent="0.25">
      <c r="A32" s="13" t="s">
        <v>44</v>
      </c>
      <c r="B32" s="14" t="e">
        <f t="shared" si="1"/>
        <v>#N/A</v>
      </c>
      <c r="C32" s="15">
        <f t="shared" si="2"/>
        <v>0</v>
      </c>
      <c r="D32" s="15">
        <f t="shared" si="3"/>
        <v>0</v>
      </c>
    </row>
    <row r="33" spans="1:4" x14ac:dyDescent="0.25">
      <c r="A33" s="13" t="s">
        <v>45</v>
      </c>
      <c r="B33" s="14" t="e">
        <f t="shared" si="1"/>
        <v>#N/A</v>
      </c>
      <c r="C33" s="15">
        <f t="shared" si="2"/>
        <v>0</v>
      </c>
      <c r="D33" s="15">
        <f t="shared" si="3"/>
        <v>0</v>
      </c>
    </row>
    <row r="34" spans="1:4" x14ac:dyDescent="0.25">
      <c r="A34" s="13" t="s">
        <v>46</v>
      </c>
      <c r="B34" s="14" t="e">
        <f t="shared" si="1"/>
        <v>#N/A</v>
      </c>
      <c r="C34" s="15">
        <f t="shared" si="2"/>
        <v>0</v>
      </c>
      <c r="D34" s="15">
        <f t="shared" si="3"/>
        <v>0</v>
      </c>
    </row>
    <row r="35" spans="1:4" x14ac:dyDescent="0.25">
      <c r="A35" s="13" t="s">
        <v>47</v>
      </c>
      <c r="B35" s="14" t="e">
        <f t="shared" si="1"/>
        <v>#N/A</v>
      </c>
      <c r="C35" s="15">
        <f t="shared" si="2"/>
        <v>0</v>
      </c>
      <c r="D35" s="15">
        <f t="shared" si="3"/>
        <v>0</v>
      </c>
    </row>
    <row r="36" spans="1:4" x14ac:dyDescent="0.25">
      <c r="A36" s="13" t="s">
        <v>48</v>
      </c>
      <c r="B36" s="14" t="e">
        <f t="shared" si="1"/>
        <v>#N/A</v>
      </c>
      <c r="C36" s="15">
        <f t="shared" si="2"/>
        <v>0</v>
      </c>
      <c r="D36" s="15">
        <f t="shared" si="3"/>
        <v>0</v>
      </c>
    </row>
    <row r="37" spans="1:4" x14ac:dyDescent="0.25">
      <c r="A37" s="13" t="s">
        <v>49</v>
      </c>
      <c r="B37" s="14" t="e">
        <f t="shared" si="1"/>
        <v>#N/A</v>
      </c>
      <c r="C37" s="15">
        <f t="shared" si="2"/>
        <v>0</v>
      </c>
      <c r="D37" s="15">
        <f t="shared" si="3"/>
        <v>0</v>
      </c>
    </row>
    <row r="40" spans="1:4" ht="15.75" x14ac:dyDescent="0.25">
      <c r="A40" s="11" t="s">
        <v>25</v>
      </c>
      <c r="B40" s="11"/>
      <c r="C40" s="11"/>
      <c r="D40" s="11"/>
    </row>
    <row r="41" spans="1:4" x14ac:dyDescent="0.25">
      <c r="A41" s="12" t="s">
        <v>26</v>
      </c>
      <c r="B41" s="12" t="s">
        <v>27</v>
      </c>
      <c r="C41" s="12" t="s">
        <v>28</v>
      </c>
      <c r="D41" s="12" t="s">
        <v>29</v>
      </c>
    </row>
    <row r="42" spans="1:4" x14ac:dyDescent="0.25">
      <c r="A42" s="13" t="s">
        <v>30</v>
      </c>
      <c r="B42" s="14" t="e">
        <f t="shared" ref="B42:B61" si="4">HLOOKUP(A42,$N$3:$AG$6,4,FALSE)</f>
        <v>#N/A</v>
      </c>
      <c r="C42" s="15">
        <f t="shared" ref="C42:C61" si="5">IFERROR(B42/SUM($B$42:$B$61),0)</f>
        <v>0</v>
      </c>
      <c r="D42" s="15">
        <f>C42</f>
        <v>0</v>
      </c>
    </row>
    <row r="43" spans="1:4" x14ac:dyDescent="0.25">
      <c r="A43" s="13" t="s">
        <v>31</v>
      </c>
      <c r="B43" s="14" t="e">
        <f t="shared" si="4"/>
        <v>#N/A</v>
      </c>
      <c r="C43" s="15">
        <f t="shared" si="5"/>
        <v>0</v>
      </c>
      <c r="D43" s="15">
        <f t="shared" ref="D43:D61" si="6">D42+C43</f>
        <v>0</v>
      </c>
    </row>
    <row r="44" spans="1:4" x14ac:dyDescent="0.25">
      <c r="A44" s="13" t="s">
        <v>32</v>
      </c>
      <c r="B44" s="14" t="e">
        <f t="shared" si="4"/>
        <v>#N/A</v>
      </c>
      <c r="C44" s="15">
        <f t="shared" si="5"/>
        <v>0</v>
      </c>
      <c r="D44" s="15">
        <f t="shared" si="6"/>
        <v>0</v>
      </c>
    </row>
    <row r="45" spans="1:4" x14ac:dyDescent="0.25">
      <c r="A45" s="13" t="s">
        <v>33</v>
      </c>
      <c r="B45" s="14" t="e">
        <f t="shared" si="4"/>
        <v>#N/A</v>
      </c>
      <c r="C45" s="15">
        <f t="shared" si="5"/>
        <v>0</v>
      </c>
      <c r="D45" s="15">
        <f t="shared" si="6"/>
        <v>0</v>
      </c>
    </row>
    <row r="46" spans="1:4" x14ac:dyDescent="0.25">
      <c r="A46" s="13" t="s">
        <v>34</v>
      </c>
      <c r="B46" s="14" t="e">
        <f t="shared" si="4"/>
        <v>#N/A</v>
      </c>
      <c r="C46" s="15">
        <f t="shared" si="5"/>
        <v>0</v>
      </c>
      <c r="D46" s="15">
        <f t="shared" si="6"/>
        <v>0</v>
      </c>
    </row>
    <row r="47" spans="1:4" x14ac:dyDescent="0.25">
      <c r="A47" s="13" t="s">
        <v>35</v>
      </c>
      <c r="B47" s="14" t="e">
        <f t="shared" si="4"/>
        <v>#N/A</v>
      </c>
      <c r="C47" s="15">
        <f t="shared" si="5"/>
        <v>0</v>
      </c>
      <c r="D47" s="15">
        <f t="shared" si="6"/>
        <v>0</v>
      </c>
    </row>
    <row r="48" spans="1:4" x14ac:dyDescent="0.25">
      <c r="A48" s="13" t="s">
        <v>36</v>
      </c>
      <c r="B48" s="14" t="e">
        <f t="shared" si="4"/>
        <v>#N/A</v>
      </c>
      <c r="C48" s="15">
        <f t="shared" si="5"/>
        <v>0</v>
      </c>
      <c r="D48" s="15">
        <f t="shared" si="6"/>
        <v>0</v>
      </c>
    </row>
    <row r="49" spans="1:4" x14ac:dyDescent="0.25">
      <c r="A49" s="13" t="s">
        <v>37</v>
      </c>
      <c r="B49" s="14" t="e">
        <f t="shared" si="4"/>
        <v>#N/A</v>
      </c>
      <c r="C49" s="15">
        <f t="shared" si="5"/>
        <v>0</v>
      </c>
      <c r="D49" s="15">
        <f t="shared" si="6"/>
        <v>0</v>
      </c>
    </row>
    <row r="50" spans="1:4" x14ac:dyDescent="0.25">
      <c r="A50" s="13" t="s">
        <v>38</v>
      </c>
      <c r="B50" s="14" t="e">
        <f t="shared" si="4"/>
        <v>#N/A</v>
      </c>
      <c r="C50" s="15">
        <f t="shared" si="5"/>
        <v>0</v>
      </c>
      <c r="D50" s="15">
        <f t="shared" si="6"/>
        <v>0</v>
      </c>
    </row>
    <row r="51" spans="1:4" x14ac:dyDescent="0.25">
      <c r="A51" s="13" t="s">
        <v>39</v>
      </c>
      <c r="B51" s="14" t="e">
        <f t="shared" si="4"/>
        <v>#N/A</v>
      </c>
      <c r="C51" s="15">
        <f t="shared" si="5"/>
        <v>0</v>
      </c>
      <c r="D51" s="15">
        <f t="shared" si="6"/>
        <v>0</v>
      </c>
    </row>
    <row r="52" spans="1:4" x14ac:dyDescent="0.25">
      <c r="A52" s="13" t="s">
        <v>40</v>
      </c>
      <c r="B52" s="14" t="e">
        <f t="shared" si="4"/>
        <v>#N/A</v>
      </c>
      <c r="C52" s="15">
        <f t="shared" si="5"/>
        <v>0</v>
      </c>
      <c r="D52" s="15">
        <f t="shared" si="6"/>
        <v>0</v>
      </c>
    </row>
    <row r="53" spans="1:4" x14ac:dyDescent="0.25">
      <c r="A53" s="13" t="s">
        <v>41</v>
      </c>
      <c r="B53" s="14" t="e">
        <f t="shared" si="4"/>
        <v>#N/A</v>
      </c>
      <c r="C53" s="15">
        <f t="shared" si="5"/>
        <v>0</v>
      </c>
      <c r="D53" s="15">
        <f t="shared" si="6"/>
        <v>0</v>
      </c>
    </row>
    <row r="54" spans="1:4" x14ac:dyDescent="0.25">
      <c r="A54" s="13" t="s">
        <v>42</v>
      </c>
      <c r="B54" s="14" t="e">
        <f t="shared" si="4"/>
        <v>#N/A</v>
      </c>
      <c r="C54" s="15">
        <f t="shared" si="5"/>
        <v>0</v>
      </c>
      <c r="D54" s="15">
        <f t="shared" si="6"/>
        <v>0</v>
      </c>
    </row>
    <row r="55" spans="1:4" x14ac:dyDescent="0.25">
      <c r="A55" s="13" t="s">
        <v>43</v>
      </c>
      <c r="B55" s="14" t="e">
        <f t="shared" si="4"/>
        <v>#N/A</v>
      </c>
      <c r="C55" s="15">
        <f t="shared" si="5"/>
        <v>0</v>
      </c>
      <c r="D55" s="15">
        <f t="shared" si="6"/>
        <v>0</v>
      </c>
    </row>
    <row r="56" spans="1:4" x14ac:dyDescent="0.25">
      <c r="A56" s="13" t="s">
        <v>44</v>
      </c>
      <c r="B56" s="14" t="e">
        <f t="shared" si="4"/>
        <v>#N/A</v>
      </c>
      <c r="C56" s="15">
        <f t="shared" si="5"/>
        <v>0</v>
      </c>
      <c r="D56" s="15">
        <f t="shared" si="6"/>
        <v>0</v>
      </c>
    </row>
    <row r="57" spans="1:4" x14ac:dyDescent="0.25">
      <c r="A57" s="13" t="s">
        <v>45</v>
      </c>
      <c r="B57" s="14" t="e">
        <f t="shared" si="4"/>
        <v>#N/A</v>
      </c>
      <c r="C57" s="15">
        <f t="shared" si="5"/>
        <v>0</v>
      </c>
      <c r="D57" s="15">
        <f t="shared" si="6"/>
        <v>0</v>
      </c>
    </row>
    <row r="58" spans="1:4" x14ac:dyDescent="0.25">
      <c r="A58" s="13" t="s">
        <v>46</v>
      </c>
      <c r="B58" s="14" t="e">
        <f t="shared" si="4"/>
        <v>#N/A</v>
      </c>
      <c r="C58" s="15">
        <f t="shared" si="5"/>
        <v>0</v>
      </c>
      <c r="D58" s="15">
        <f t="shared" si="6"/>
        <v>0</v>
      </c>
    </row>
    <row r="59" spans="1:4" x14ac:dyDescent="0.25">
      <c r="A59" s="13" t="s">
        <v>47</v>
      </c>
      <c r="B59" s="14" t="e">
        <f t="shared" si="4"/>
        <v>#N/A</v>
      </c>
      <c r="C59" s="15">
        <f t="shared" si="5"/>
        <v>0</v>
      </c>
      <c r="D59" s="15">
        <f t="shared" si="6"/>
        <v>0</v>
      </c>
    </row>
    <row r="60" spans="1:4" x14ac:dyDescent="0.25">
      <c r="A60" s="13" t="s">
        <v>48</v>
      </c>
      <c r="B60" s="14" t="e">
        <f t="shared" si="4"/>
        <v>#N/A</v>
      </c>
      <c r="C60" s="15">
        <f t="shared" si="5"/>
        <v>0</v>
      </c>
      <c r="D60" s="15">
        <f t="shared" si="6"/>
        <v>0</v>
      </c>
    </row>
    <row r="61" spans="1:4" x14ac:dyDescent="0.25">
      <c r="A61" s="13" t="s">
        <v>49</v>
      </c>
      <c r="B61" s="14" t="e">
        <f t="shared" si="4"/>
        <v>#N/A</v>
      </c>
      <c r="C61" s="15">
        <f t="shared" si="5"/>
        <v>0</v>
      </c>
      <c r="D61" s="15">
        <f t="shared" si="6"/>
        <v>0</v>
      </c>
    </row>
  </sheetData>
  <mergeCells count="12">
    <mergeCell ref="A40:D40"/>
    <mergeCell ref="A16:D16"/>
    <mergeCell ref="I3:I4"/>
    <mergeCell ref="J3:J4"/>
    <mergeCell ref="K3:K4"/>
    <mergeCell ref="A3:A4"/>
    <mergeCell ref="B3:B4"/>
    <mergeCell ref="L3:L4"/>
    <mergeCell ref="M3:M4"/>
    <mergeCell ref="C3:D3"/>
    <mergeCell ref="E3:F3"/>
    <mergeCell ref="G3:H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2026-01-25T14:36:03Z</dcterms:created>
  <dcterms:modified xsi:type="dcterms:W3CDTF">2026-04-05T12:57:16Z</dcterms:modified>
  <cp:category/>
</cp:coreProperties>
</file>